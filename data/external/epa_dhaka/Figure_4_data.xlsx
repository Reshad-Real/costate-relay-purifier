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sarwar_golam_epa_gov/Documents/Profile/Documents/Corel User Files/PAPERS/Journals/2023/Dhaka/ScienceHub_data/"/>
    </mc:Choice>
  </mc:AlternateContent>
  <xr:revisionPtr revIDLastSave="160" documentId="8_{2584D028-4251-4B22-B6EF-328132AEC2F5}" xr6:coauthVersionLast="47" xr6:coauthVersionMax="47" xr10:uidLastSave="{7362AB92-8BD2-4680-A5A5-5FF1A68A7D09}"/>
  <bookViews>
    <workbookView xWindow="948" yWindow="-108" windowWidth="22200" windowHeight="13176" xr2:uid="{9A5CFC14-8815-4416-BDF5-5CFF9AAB542B}"/>
  </bookViews>
  <sheets>
    <sheet name="README" sheetId="6" r:id="rId1"/>
    <sheet name="data_for_fig_4a" sheetId="5" r:id="rId2"/>
    <sheet name="data_for_fig_4b" sheetId="3" r:id="rId3"/>
    <sheet name="data_for_fig_4c" sheetId="2" r:id="rId4"/>
    <sheet name="Data_for_fig_4d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3" l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4" i="3"/>
</calcChain>
</file>

<file path=xl/sharedStrings.xml><?xml version="1.0" encoding="utf-8"?>
<sst xmlns="http://schemas.openxmlformats.org/spreadsheetml/2006/main" count="41" uniqueCount="29">
  <si>
    <t>premonsoon</t>
  </si>
  <si>
    <t>monsoon</t>
  </si>
  <si>
    <t>postmonsoon</t>
  </si>
  <si>
    <t>winter</t>
  </si>
  <si>
    <t>Month</t>
  </si>
  <si>
    <t>observed data</t>
  </si>
  <si>
    <t>model prediction</t>
  </si>
  <si>
    <t>NMB</t>
  </si>
  <si>
    <t>ug/m3</t>
  </si>
  <si>
    <t>%</t>
  </si>
  <si>
    <t>OC</t>
  </si>
  <si>
    <t>SOC</t>
  </si>
  <si>
    <t>POC</t>
  </si>
  <si>
    <t>Hour</t>
  </si>
  <si>
    <t>mean observed PM2.5</t>
  </si>
  <si>
    <t>mean model PM2.5</t>
  </si>
  <si>
    <t xml:space="preserve">mean observed std deviation </t>
  </si>
  <si>
    <t xml:space="preserve">mean model std deviation </t>
  </si>
  <si>
    <t>PM2.5 composition</t>
  </si>
  <si>
    <t>OA</t>
  </si>
  <si>
    <t>ASO4</t>
  </si>
  <si>
    <t>ANO3</t>
  </si>
  <si>
    <t>ANH4</t>
  </si>
  <si>
    <t>OTHER</t>
  </si>
  <si>
    <t>AEC</t>
  </si>
  <si>
    <t>Fraction</t>
  </si>
  <si>
    <t>It has 4 datasheets</t>
  </si>
  <si>
    <t>This file contains data for Figure 4 in the article</t>
  </si>
  <si>
    <r>
      <t>Figure 4: (a) A comparison of CMAQ predicted monthly mean PM</t>
    </r>
    <r>
      <rPr>
        <vertAlign val="subscript"/>
        <sz val="12"/>
        <color theme="1"/>
        <rFont val="Times New Roman"/>
        <family val="1"/>
      </rPr>
      <t>2.5</t>
    </r>
    <r>
      <rPr>
        <sz val="12"/>
        <color theme="1"/>
        <rFont val="Times New Roman"/>
        <family val="1"/>
      </rPr>
      <t xml:space="preserve"> concentrations with observed data (b) a comparison of CMAQ predicted diurnal PM</t>
    </r>
    <r>
      <rPr>
        <vertAlign val="subscript"/>
        <sz val="12"/>
        <color theme="1"/>
        <rFont val="Times New Roman"/>
        <family val="1"/>
      </rPr>
      <t>2.5</t>
    </r>
    <r>
      <rPr>
        <sz val="12"/>
        <color theme="1"/>
        <rFont val="Times New Roman"/>
        <family val="1"/>
      </rPr>
      <t xml:space="preserve"> concentrations with observed data (c) CMAQ predicted seasonal mean PM</t>
    </r>
    <r>
      <rPr>
        <vertAlign val="subscript"/>
        <sz val="12"/>
        <color theme="1"/>
        <rFont val="Times New Roman"/>
        <family val="1"/>
      </rPr>
      <t>2.5</t>
    </r>
    <r>
      <rPr>
        <sz val="12"/>
        <color theme="1"/>
        <rFont val="Times New Roman"/>
        <family val="1"/>
      </rPr>
      <t xml:space="preserve"> composition, and (d) CMAQ predicted monthly mean POC, SOC, and OC concentrations. The black dot in Figure 5(d) represents the OC measurement reported by Salam et al. (2021) during November 2013 -  February, 2014. Figure (a) includes standard deviation calculated using all available daily observed and model data in a month. Model and observed PM</t>
    </r>
    <r>
      <rPr>
        <vertAlign val="subscript"/>
        <sz val="12"/>
        <color theme="1"/>
        <rFont val="Times New Roman"/>
        <family val="1"/>
      </rPr>
      <t xml:space="preserve">2.5 </t>
    </r>
    <r>
      <rPr>
        <sz val="12"/>
        <color theme="1"/>
        <rFont val="Times New Roman"/>
        <family val="1"/>
      </rPr>
      <t xml:space="preserve">values are shown on the left y-axis and NMB values are shown on the right y-axis, and the horizontal dashed line in Figure (a) represents 0 NMB. Figure (b) includes standard deviation calculated using all available hourly observed and model data. OA = organic aerosol, ASO4 = sulfate, ANO3 = nitrate, ANH4= ammonium, OTHER = unspeciated PM2.5, EC = elemental carbon,  POC = primary organic carbon, SOC = secondary organic carbon, OC = organic carbon.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</si>
</sst>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color theme="1"/>
      <name val="Calibri"/>
      <family val="2"/>
      <scheme val="minor"/>
    </font>
    <font>
      <sz val="10"/>
      <color theme="1"/>
      <name val="Var(--jp-code-font-family)"/>
    </font>
    <font>
      <sz val="10"/>
      <color rgb="FF000000"/>
      <name val="Var(--jp-code-font-family)"/>
    </font>
    <font>
      <sz val="12"/>
      <color theme="1"/>
      <name val="Times New Roman"/>
      <family val="1"/>
    </font>
    <font>
      <vertAlign val="subscript"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left"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7642F-B89A-4B7F-AD32-1355654F97AF}">
  <dimension ref="A2:A9"/>
  <sheetViews>
    <sheetView tabSelected="1" workbookViewId="0">
      <selection activeCell="A6" sqref="A6"/>
    </sheetView>
  </sheetViews>
  <sheetFormatPr defaultRowHeight="14.4"/>
  <sheetData>
    <row r="2" spans="1:1">
      <c r="A2" t="s">
        <v>27</v>
      </c>
    </row>
    <row r="3" spans="1:1">
      <c r="A3" t="s">
        <v>26</v>
      </c>
    </row>
    <row r="5" spans="1:1" ht="15.6">
      <c r="A5" s="7"/>
    </row>
    <row r="6" spans="1:1" ht="18">
      <c r="A6" s="7" t="s">
        <v>28</v>
      </c>
    </row>
    <row r="7" spans="1:1" ht="15.6">
      <c r="A7" s="7"/>
    </row>
    <row r="8" spans="1:1" ht="15.6">
      <c r="A8" s="7"/>
    </row>
    <row r="9" spans="1:1" ht="15.6">
      <c r="A9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24D34-D761-4CA1-9D4F-80EA28236504}">
  <dimension ref="A1:F180"/>
  <sheetViews>
    <sheetView workbookViewId="0">
      <selection activeCell="E6" sqref="E6"/>
    </sheetView>
  </sheetViews>
  <sheetFormatPr defaultRowHeight="14.4"/>
  <cols>
    <col min="1" max="1" width="13.44140625" customWidth="1"/>
    <col min="2" max="2" width="19.88671875" customWidth="1"/>
    <col min="3" max="3" width="22.88671875" customWidth="1"/>
    <col min="4" max="4" width="19.21875" customWidth="1"/>
    <col min="5" max="5" width="17" customWidth="1"/>
    <col min="6" max="6" width="19.109375" customWidth="1"/>
  </cols>
  <sheetData>
    <row r="1" spans="1:6">
      <c r="A1" s="3"/>
      <c r="B1" s="3" t="s">
        <v>8</v>
      </c>
      <c r="C1" s="3" t="s">
        <v>8</v>
      </c>
      <c r="D1" s="3" t="s">
        <v>9</v>
      </c>
      <c r="E1" s="3"/>
      <c r="F1" s="3"/>
    </row>
    <row r="2" spans="1:6">
      <c r="A2" s="6" t="s">
        <v>4</v>
      </c>
      <c r="B2" s="3" t="s">
        <v>5</v>
      </c>
      <c r="C2" s="3" t="s">
        <v>6</v>
      </c>
      <c r="D2" s="3" t="s">
        <v>7</v>
      </c>
      <c r="E2" s="3"/>
      <c r="F2" s="3"/>
    </row>
    <row r="3" spans="1:6">
      <c r="A3">
        <v>1</v>
      </c>
      <c r="B3" s="4">
        <v>193.787914</v>
      </c>
      <c r="C3" s="4">
        <v>131.12321399999999</v>
      </c>
      <c r="D3" s="5">
        <v>-32.3367430269411</v>
      </c>
      <c r="E3" s="5"/>
      <c r="F3" s="5"/>
    </row>
    <row r="4" spans="1:6">
      <c r="A4">
        <v>2</v>
      </c>
      <c r="B4" s="4">
        <v>172.41926599999999</v>
      </c>
      <c r="C4" s="4">
        <v>146.43739099999999</v>
      </c>
      <c r="D4" s="5">
        <v>-15.069008943608701</v>
      </c>
      <c r="E4" s="5"/>
      <c r="F4" s="5"/>
    </row>
    <row r="5" spans="1:6">
      <c r="A5">
        <v>3</v>
      </c>
      <c r="B5" s="4">
        <v>92.044764000000001</v>
      </c>
      <c r="C5" s="4">
        <v>92.947418999999996</v>
      </c>
      <c r="D5" s="5">
        <v>0.98067006154401504</v>
      </c>
      <c r="E5" s="5"/>
      <c r="F5" s="5"/>
    </row>
    <row r="6" spans="1:6">
      <c r="A6">
        <v>4</v>
      </c>
      <c r="B6" s="4">
        <v>60.505012000000001</v>
      </c>
      <c r="C6" s="4">
        <v>62.341667000000001</v>
      </c>
      <c r="D6" s="5">
        <v>3.03554123249467</v>
      </c>
      <c r="E6" s="5"/>
      <c r="F6" s="5"/>
    </row>
    <row r="7" spans="1:6">
      <c r="A7">
        <v>5</v>
      </c>
      <c r="B7" s="4">
        <v>50.400865000000003</v>
      </c>
      <c r="C7" s="4">
        <v>64.494516000000004</v>
      </c>
      <c r="D7" s="5">
        <v>27.963113867598199</v>
      </c>
      <c r="E7" s="5"/>
      <c r="F7" s="5"/>
    </row>
    <row r="8" spans="1:6">
      <c r="A8">
        <v>6</v>
      </c>
      <c r="B8" s="4">
        <v>32.584771000000003</v>
      </c>
      <c r="C8" s="4">
        <v>33.784999999999997</v>
      </c>
      <c r="D8" s="5">
        <v>3.6834062305926301</v>
      </c>
      <c r="E8" s="5"/>
      <c r="F8" s="5"/>
    </row>
    <row r="9" spans="1:6">
      <c r="A9">
        <v>7</v>
      </c>
      <c r="B9" s="4">
        <v>29.985878</v>
      </c>
      <c r="C9" s="4">
        <v>23.598666999999999</v>
      </c>
      <c r="D9" s="5">
        <v>-21.3007319135302</v>
      </c>
    </row>
    <row r="10" spans="1:6">
      <c r="A10">
        <v>8</v>
      </c>
      <c r="B10" s="4">
        <v>33.261895000000003</v>
      </c>
      <c r="C10" s="4">
        <v>27.219031999999999</v>
      </c>
      <c r="D10" s="5">
        <v>-18.1675236976346</v>
      </c>
    </row>
    <row r="11" spans="1:6">
      <c r="A11">
        <v>9</v>
      </c>
      <c r="B11" s="4">
        <v>37.089396999999998</v>
      </c>
      <c r="C11" s="4">
        <v>47.930357000000001</v>
      </c>
      <c r="D11" s="5">
        <v>29.2292687806404</v>
      </c>
    </row>
    <row r="12" spans="1:6">
      <c r="A12">
        <v>10</v>
      </c>
      <c r="B12" s="4">
        <v>50.267530999999998</v>
      </c>
      <c r="C12" s="4">
        <v>69.415862000000004</v>
      </c>
      <c r="D12" s="5">
        <v>38.092841797704097</v>
      </c>
    </row>
    <row r="13" spans="1:6">
      <c r="A13">
        <v>11</v>
      </c>
      <c r="B13" s="4">
        <v>95.005555999999999</v>
      </c>
      <c r="C13" s="4">
        <v>94.759</v>
      </c>
      <c r="D13" s="5">
        <v>-0.25951699057684202</v>
      </c>
    </row>
    <row r="14" spans="1:6">
      <c r="A14">
        <v>12</v>
      </c>
      <c r="B14" s="4">
        <v>135.02553800000001</v>
      </c>
      <c r="C14" s="4">
        <v>117.428387</v>
      </c>
      <c r="D14" s="5">
        <v>-13.032461001775401</v>
      </c>
    </row>
    <row r="122" spans="2:2">
      <c r="B122" s="1"/>
    </row>
    <row r="123" spans="2:2">
      <c r="B123" s="1"/>
    </row>
    <row r="124" spans="2:2">
      <c r="B124" s="1"/>
    </row>
    <row r="125" spans="2:2">
      <c r="B125" s="1"/>
    </row>
    <row r="126" spans="2:2">
      <c r="B126" s="1"/>
    </row>
    <row r="127" spans="2:2">
      <c r="B127" s="1"/>
    </row>
    <row r="128" spans="2:2">
      <c r="B128" s="1"/>
    </row>
    <row r="129" spans="2:2">
      <c r="B129" s="1"/>
    </row>
    <row r="130" spans="2:2">
      <c r="B130" s="1"/>
    </row>
    <row r="131" spans="2:2">
      <c r="B131" s="1"/>
    </row>
    <row r="132" spans="2:2">
      <c r="B132" s="1"/>
    </row>
    <row r="133" spans="2:2">
      <c r="B133" s="1"/>
    </row>
    <row r="134" spans="2:2">
      <c r="B134" s="1"/>
    </row>
    <row r="135" spans="2:2">
      <c r="B135" s="1"/>
    </row>
    <row r="136" spans="2:2">
      <c r="B136" s="1"/>
    </row>
    <row r="137" spans="2:2">
      <c r="B137" s="1"/>
    </row>
    <row r="138" spans="2:2">
      <c r="B138" s="1"/>
    </row>
    <row r="139" spans="2:2">
      <c r="B139" s="1"/>
    </row>
    <row r="140" spans="2:2">
      <c r="B140" s="1"/>
    </row>
    <row r="141" spans="2:2">
      <c r="B141" s="1"/>
    </row>
    <row r="142" spans="2:2">
      <c r="B142" s="1"/>
    </row>
    <row r="143" spans="2:2">
      <c r="B143" s="1"/>
    </row>
    <row r="144" spans="2:2">
      <c r="B144" s="1"/>
    </row>
    <row r="145" spans="2:2">
      <c r="B145" s="1"/>
    </row>
    <row r="146" spans="2:2">
      <c r="B146" s="1"/>
    </row>
    <row r="147" spans="2:2">
      <c r="B147" s="1"/>
    </row>
    <row r="148" spans="2:2">
      <c r="B148" s="1"/>
    </row>
    <row r="149" spans="2:2">
      <c r="B149" s="1"/>
    </row>
    <row r="150" spans="2:2">
      <c r="B150" s="1"/>
    </row>
    <row r="151" spans="2:2">
      <c r="B151" s="1"/>
    </row>
    <row r="152" spans="2:2">
      <c r="B152" s="1"/>
    </row>
    <row r="153" spans="2:2">
      <c r="B153" s="1"/>
    </row>
    <row r="154" spans="2:2">
      <c r="B154" s="1"/>
    </row>
    <row r="155" spans="2:2">
      <c r="B155" s="1"/>
    </row>
    <row r="156" spans="2:2">
      <c r="B156" s="1"/>
    </row>
    <row r="157" spans="2:2">
      <c r="B157" s="1"/>
    </row>
    <row r="158" spans="2:2">
      <c r="B158" s="1"/>
    </row>
    <row r="159" spans="2:2">
      <c r="B159" s="1"/>
    </row>
    <row r="160" spans="2:2">
      <c r="B160" s="1"/>
    </row>
    <row r="161" spans="2:2">
      <c r="B161" s="1"/>
    </row>
    <row r="162" spans="2:2">
      <c r="B162" s="1"/>
    </row>
    <row r="163" spans="2:2">
      <c r="B163" s="1"/>
    </row>
    <row r="164" spans="2:2">
      <c r="B164" s="1"/>
    </row>
    <row r="165" spans="2:2">
      <c r="B165" s="1"/>
    </row>
    <row r="166" spans="2:2">
      <c r="B166" s="1"/>
    </row>
    <row r="167" spans="2:2">
      <c r="B167" s="1"/>
    </row>
    <row r="168" spans="2:2">
      <c r="B168" s="1"/>
    </row>
    <row r="169" spans="2:2">
      <c r="B169" s="1"/>
    </row>
    <row r="170" spans="2:2">
      <c r="B170" s="1"/>
    </row>
    <row r="171" spans="2:2">
      <c r="B171" s="1"/>
    </row>
    <row r="172" spans="2:2">
      <c r="B172" s="1"/>
    </row>
    <row r="173" spans="2:2">
      <c r="B173" s="1"/>
    </row>
    <row r="174" spans="2:2">
      <c r="B174" s="1"/>
    </row>
    <row r="175" spans="2:2">
      <c r="B175" s="1"/>
    </row>
    <row r="176" spans="2:2">
      <c r="B176" s="1"/>
    </row>
    <row r="177" spans="2:2">
      <c r="B177" s="1"/>
    </row>
    <row r="178" spans="2:2">
      <c r="B178" s="1"/>
    </row>
    <row r="179" spans="2:2">
      <c r="B179" s="1"/>
    </row>
    <row r="180" spans="2:2">
      <c r="B18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A5069-E7FF-41FB-A02D-3BDDB2A9AE62}">
  <dimension ref="A1:I359"/>
  <sheetViews>
    <sheetView workbookViewId="0">
      <selection activeCell="F14" sqref="F14"/>
    </sheetView>
  </sheetViews>
  <sheetFormatPr defaultRowHeight="14.4"/>
  <cols>
    <col min="2" max="2" width="19.77734375" customWidth="1"/>
    <col min="3" max="3" width="18.5546875" customWidth="1"/>
    <col min="4" max="4" width="24.33203125" customWidth="1"/>
    <col min="5" max="5" width="22" customWidth="1"/>
    <col min="6" max="6" width="14" customWidth="1"/>
  </cols>
  <sheetData>
    <row r="1" spans="1:9">
      <c r="A1" s="3"/>
      <c r="B1" s="3" t="s">
        <v>8</v>
      </c>
      <c r="C1" s="3" t="s">
        <v>8</v>
      </c>
      <c r="D1" s="4" t="s">
        <v>8</v>
      </c>
      <c r="E1" s="4" t="s">
        <v>8</v>
      </c>
      <c r="F1" s="3"/>
      <c r="I1" s="1"/>
    </row>
    <row r="2" spans="1:9">
      <c r="A2" s="3" t="s">
        <v>13</v>
      </c>
      <c r="B2" s="3" t="s">
        <v>14</v>
      </c>
      <c r="C2" s="3" t="s">
        <v>15</v>
      </c>
      <c r="D2" s="4" t="s">
        <v>16</v>
      </c>
      <c r="E2" s="4" t="s">
        <v>17</v>
      </c>
      <c r="F2" s="3"/>
      <c r="I2" s="1"/>
    </row>
    <row r="3" spans="1:9">
      <c r="A3" s="3">
        <v>0</v>
      </c>
      <c r="B3" s="4">
        <v>97.118644067796595</v>
      </c>
      <c r="C3" s="4">
        <v>82.708493150684902</v>
      </c>
      <c r="D3" s="4">
        <v>89.367354930839895</v>
      </c>
      <c r="E3" s="4">
        <v>55.875723435374503</v>
      </c>
      <c r="F3" s="3"/>
      <c r="I3" s="1"/>
    </row>
    <row r="4" spans="1:9">
      <c r="A4" s="3">
        <f>A3+1</f>
        <v>1</v>
      </c>
      <c r="B4" s="4">
        <v>97.920903954802199</v>
      </c>
      <c r="C4" s="4">
        <v>82.034109589041094</v>
      </c>
      <c r="D4" s="4">
        <v>88.079763382936804</v>
      </c>
      <c r="E4" s="4">
        <v>56.198395655691698</v>
      </c>
      <c r="F4" s="3"/>
      <c r="I4" s="1"/>
    </row>
    <row r="5" spans="1:9">
      <c r="A5" s="3">
        <f t="shared" ref="A5:A26" si="0">A4+1</f>
        <v>2</v>
      </c>
      <c r="B5" s="4">
        <v>98.868945868945801</v>
      </c>
      <c r="C5" s="4">
        <v>81.417999999999907</v>
      </c>
      <c r="D5" s="4">
        <v>93.875692449566699</v>
      </c>
      <c r="E5" s="4">
        <v>56.486834176423102</v>
      </c>
      <c r="F5" s="3"/>
      <c r="I5" s="1"/>
    </row>
    <row r="6" spans="1:9">
      <c r="A6" s="3">
        <f t="shared" si="0"/>
        <v>3</v>
      </c>
      <c r="B6" s="4">
        <v>93.398305084745701</v>
      </c>
      <c r="C6" s="4">
        <v>80.865287671232906</v>
      </c>
      <c r="D6" s="4">
        <v>90.555616375660406</v>
      </c>
      <c r="E6" s="4">
        <v>56.694026854948802</v>
      </c>
      <c r="F6" s="3"/>
    </row>
    <row r="7" spans="1:9">
      <c r="A7" s="3">
        <f t="shared" si="0"/>
        <v>4</v>
      </c>
      <c r="B7" s="4">
        <v>92.801699716713799</v>
      </c>
      <c r="C7" s="4">
        <v>80.507616438356095</v>
      </c>
      <c r="D7" s="4">
        <v>89.349290946024396</v>
      </c>
      <c r="E7" s="4">
        <v>56.681198300067599</v>
      </c>
      <c r="F7" s="3"/>
    </row>
    <row r="8" spans="1:9">
      <c r="A8" s="3">
        <f t="shared" si="0"/>
        <v>5</v>
      </c>
      <c r="B8" s="4">
        <v>88.948863636363598</v>
      </c>
      <c r="C8" s="4">
        <v>80.371315068493203</v>
      </c>
      <c r="D8" s="4">
        <v>85.368900833232203</v>
      </c>
      <c r="E8" s="4">
        <v>56.588039201614102</v>
      </c>
      <c r="F8" s="3"/>
    </row>
    <row r="9" spans="1:9">
      <c r="A9" s="3">
        <f t="shared" si="0"/>
        <v>6</v>
      </c>
      <c r="B9" s="4">
        <v>88.460227272727195</v>
      </c>
      <c r="C9" s="4">
        <v>80.921397260274006</v>
      </c>
      <c r="D9" s="4">
        <v>82.125805848545397</v>
      </c>
      <c r="E9" s="4">
        <v>56.755265936332599</v>
      </c>
    </row>
    <row r="10" spans="1:9">
      <c r="A10" s="3">
        <f t="shared" si="0"/>
        <v>7</v>
      </c>
      <c r="B10" s="4">
        <v>92.334277620396605</v>
      </c>
      <c r="C10" s="4">
        <v>81.342164383561595</v>
      </c>
      <c r="D10" s="4">
        <v>84.865109465912596</v>
      </c>
      <c r="E10" s="4">
        <v>57.802762795441602</v>
      </c>
    </row>
    <row r="11" spans="1:9">
      <c r="A11" s="3">
        <f t="shared" si="0"/>
        <v>8</v>
      </c>
      <c r="B11" s="4">
        <v>88.252840909090907</v>
      </c>
      <c r="C11" s="4">
        <v>80.452054794520393</v>
      </c>
      <c r="D11" s="4">
        <v>80.1674617861147</v>
      </c>
      <c r="E11" s="4">
        <v>57.9099412872012</v>
      </c>
    </row>
    <row r="12" spans="1:9">
      <c r="A12" s="3">
        <f t="shared" si="0"/>
        <v>9</v>
      </c>
      <c r="B12" s="4">
        <v>82.039886039885999</v>
      </c>
      <c r="C12" s="4">
        <v>79.022328767123298</v>
      </c>
      <c r="D12" s="4">
        <v>78.900035154716804</v>
      </c>
      <c r="E12" s="4">
        <v>57.124656469030903</v>
      </c>
    </row>
    <row r="13" spans="1:9">
      <c r="A13" s="3">
        <f t="shared" si="0"/>
        <v>10</v>
      </c>
      <c r="B13" s="4">
        <v>75.359773371104794</v>
      </c>
      <c r="C13" s="4">
        <v>76.917232876712305</v>
      </c>
      <c r="D13" s="4">
        <v>73.650805957099394</v>
      </c>
      <c r="E13" s="4">
        <v>54.157163374705299</v>
      </c>
    </row>
    <row r="14" spans="1:9">
      <c r="A14" s="3">
        <f t="shared" si="0"/>
        <v>11</v>
      </c>
      <c r="B14" s="4">
        <v>65.760683760683705</v>
      </c>
      <c r="C14" s="4">
        <v>71.752082191780801</v>
      </c>
      <c r="D14" s="4">
        <v>59.000820755450903</v>
      </c>
      <c r="E14" s="4">
        <v>48.2474962972097</v>
      </c>
    </row>
    <row r="15" spans="1:9">
      <c r="A15" s="3">
        <f t="shared" si="0"/>
        <v>12</v>
      </c>
      <c r="B15" s="4">
        <v>60.609065155807301</v>
      </c>
      <c r="C15" s="4">
        <v>66.496356164383499</v>
      </c>
      <c r="D15" s="4">
        <v>52.675142139415897</v>
      </c>
      <c r="E15" s="4">
        <v>43.090892502140598</v>
      </c>
    </row>
    <row r="16" spans="1:9">
      <c r="A16" s="3">
        <f t="shared" si="0"/>
        <v>13</v>
      </c>
      <c r="B16" s="4">
        <v>58.5864022662889</v>
      </c>
      <c r="C16" s="4">
        <v>63.284136986301299</v>
      </c>
      <c r="D16" s="4">
        <v>53.788348231614698</v>
      </c>
      <c r="E16" s="4">
        <v>40.153545929288299</v>
      </c>
    </row>
    <row r="17" spans="1:5">
      <c r="A17" s="3">
        <f t="shared" si="0"/>
        <v>14</v>
      </c>
      <c r="B17" s="4">
        <v>58.5864022662889</v>
      </c>
      <c r="C17" s="4">
        <v>63.284136986301299</v>
      </c>
      <c r="D17" s="4">
        <v>53.788348231614698</v>
      </c>
      <c r="E17" s="4">
        <v>40.153545929288299</v>
      </c>
    </row>
    <row r="18" spans="1:5">
      <c r="A18" s="3">
        <f t="shared" si="0"/>
        <v>15</v>
      </c>
      <c r="B18" s="4">
        <v>51.672364672364601</v>
      </c>
      <c r="C18" s="4">
        <v>60.067232876712303</v>
      </c>
      <c r="D18" s="4">
        <v>33.927120291140099</v>
      </c>
      <c r="E18" s="4">
        <v>37.754996958600998</v>
      </c>
    </row>
    <row r="19" spans="1:5">
      <c r="A19" s="3">
        <f t="shared" si="0"/>
        <v>16</v>
      </c>
      <c r="B19" s="4">
        <v>53.338068181818102</v>
      </c>
      <c r="C19" s="4">
        <v>59.566986301369901</v>
      </c>
      <c r="D19" s="4">
        <v>37.520470002278998</v>
      </c>
      <c r="E19" s="4">
        <v>37.452910261373702</v>
      </c>
    </row>
    <row r="20" spans="1:5">
      <c r="A20" s="3">
        <f t="shared" si="0"/>
        <v>17</v>
      </c>
      <c r="B20" s="4">
        <v>58.607344632768303</v>
      </c>
      <c r="C20" s="4">
        <v>60.095287671232803</v>
      </c>
      <c r="D20" s="4">
        <v>43.469908217154099</v>
      </c>
      <c r="E20" s="4">
        <v>37.951512033712703</v>
      </c>
    </row>
    <row r="21" spans="1:5">
      <c r="A21" s="3">
        <f t="shared" si="0"/>
        <v>18</v>
      </c>
      <c r="B21" s="4">
        <v>68.494350282485797</v>
      </c>
      <c r="C21" s="4">
        <v>64.096328767123296</v>
      </c>
      <c r="D21" s="4">
        <v>49.686509836926199</v>
      </c>
      <c r="E21" s="4">
        <v>40.785070794002898</v>
      </c>
    </row>
    <row r="22" spans="1:5">
      <c r="A22" s="3">
        <f t="shared" si="0"/>
        <v>19</v>
      </c>
      <c r="B22" s="4">
        <v>79.655462184873898</v>
      </c>
      <c r="C22" s="4">
        <v>70.874958904109604</v>
      </c>
      <c r="D22" s="4">
        <v>58.531721492908602</v>
      </c>
      <c r="E22" s="4">
        <v>44.822084459413098</v>
      </c>
    </row>
    <row r="23" spans="1:5">
      <c r="A23" s="3">
        <f t="shared" si="0"/>
        <v>20</v>
      </c>
      <c r="B23" s="4">
        <v>87.148459383753504</v>
      </c>
      <c r="C23" s="4">
        <v>76.912410958904005</v>
      </c>
      <c r="D23" s="4">
        <v>65.726431920171294</v>
      </c>
      <c r="E23" s="4">
        <v>48.2140553716455</v>
      </c>
    </row>
    <row r="24" spans="1:5">
      <c r="A24" s="3">
        <f t="shared" si="0"/>
        <v>21</v>
      </c>
      <c r="B24" s="4">
        <v>90.9578651685393</v>
      </c>
      <c r="C24" s="4">
        <v>80.969698630136904</v>
      </c>
      <c r="D24" s="4">
        <v>71.770298065730103</v>
      </c>
      <c r="E24" s="4">
        <v>51.092216812983999</v>
      </c>
    </row>
    <row r="25" spans="1:5">
      <c r="A25" s="3">
        <f t="shared" si="0"/>
        <v>22</v>
      </c>
      <c r="B25" s="4">
        <v>93.322946175637398</v>
      </c>
      <c r="C25" s="4">
        <v>83.005315068493104</v>
      </c>
      <c r="D25" s="4">
        <v>79.559854257516093</v>
      </c>
      <c r="E25" s="4">
        <v>53.575309465366601</v>
      </c>
    </row>
    <row r="26" spans="1:5">
      <c r="A26" s="3">
        <f t="shared" si="0"/>
        <v>23</v>
      </c>
      <c r="B26" s="4">
        <v>96.997167138810198</v>
      </c>
      <c r="C26" s="4">
        <v>83.1918082191781</v>
      </c>
      <c r="D26" s="4">
        <v>89.455375447747997</v>
      </c>
      <c r="E26" s="4">
        <v>55.114360621541799</v>
      </c>
    </row>
    <row r="27" spans="1:5">
      <c r="A27" s="2"/>
    </row>
    <row r="28" spans="1:5">
      <c r="A28" s="2"/>
    </row>
    <row r="29" spans="1:5">
      <c r="A29" s="2"/>
    </row>
    <row r="30" spans="1:5">
      <c r="A30" s="2"/>
    </row>
    <row r="31" spans="1:5">
      <c r="A31" s="2"/>
    </row>
    <row r="32" spans="1:5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2"/>
    </row>
    <row r="45" spans="1:1">
      <c r="A45" s="2"/>
    </row>
    <row r="46" spans="1:1">
      <c r="A46" s="2"/>
    </row>
    <row r="47" spans="1:1">
      <c r="A47" s="2"/>
    </row>
    <row r="48" spans="1:1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2">
      <c r="A113" s="1"/>
    </row>
    <row r="114" spans="1:2">
      <c r="A114" s="1"/>
    </row>
    <row r="115" spans="1:2">
      <c r="A115" s="1"/>
    </row>
    <row r="116" spans="1:2">
      <c r="A116" s="1"/>
    </row>
    <row r="117" spans="1:2">
      <c r="A117" s="1"/>
    </row>
    <row r="118" spans="1:2">
      <c r="A118" s="1"/>
    </row>
    <row r="119" spans="1:2">
      <c r="A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</row>
    <row r="180" spans="1:2">
      <c r="A180" s="1"/>
    </row>
    <row r="181" spans="1:2">
      <c r="A181" s="1"/>
    </row>
    <row r="182" spans="1:2">
      <c r="A182" s="1"/>
    </row>
    <row r="183" spans="1:2">
      <c r="A183" s="1"/>
    </row>
    <row r="184" spans="1:2">
      <c r="A184" s="1"/>
    </row>
    <row r="185" spans="1:2">
      <c r="A185" s="1"/>
    </row>
    <row r="186" spans="1:2">
      <c r="A186" s="1"/>
    </row>
    <row r="187" spans="1:2">
      <c r="A187" s="1"/>
    </row>
    <row r="188" spans="1:2">
      <c r="A188" s="1"/>
    </row>
    <row r="189" spans="1:2">
      <c r="A189" s="1"/>
    </row>
    <row r="190" spans="1:2">
      <c r="A190" s="1"/>
    </row>
    <row r="191" spans="1:2">
      <c r="A191" s="1"/>
    </row>
    <row r="192" spans="1:2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  <row r="204" spans="1:1">
      <c r="A204" s="1"/>
    </row>
    <row r="205" spans="1:1">
      <c r="A205" s="1"/>
    </row>
    <row r="206" spans="1:1">
      <c r="A206" s="1"/>
    </row>
    <row r="207" spans="1:1">
      <c r="A207" s="1"/>
    </row>
    <row r="208" spans="1:1">
      <c r="A208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1"/>
    </row>
    <row r="214" spans="1:1">
      <c r="A214" s="1"/>
    </row>
    <row r="215" spans="1:1">
      <c r="A215" s="1"/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  <row r="220" spans="1:1">
      <c r="A220" s="1"/>
    </row>
    <row r="221" spans="1:1">
      <c r="A221" s="1"/>
    </row>
    <row r="222" spans="1:1">
      <c r="A222" s="1"/>
    </row>
    <row r="223" spans="1:1">
      <c r="A223" s="1"/>
    </row>
    <row r="224" spans="1:1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61B10-66B1-4189-AB70-4A1280338566}">
  <dimension ref="A1:E8"/>
  <sheetViews>
    <sheetView workbookViewId="0">
      <selection activeCell="A3" sqref="A3:A8"/>
    </sheetView>
  </sheetViews>
  <sheetFormatPr defaultRowHeight="14.4"/>
  <cols>
    <col min="1" max="1" width="17.33203125" customWidth="1"/>
    <col min="2" max="2" width="22.88671875" customWidth="1"/>
    <col min="3" max="3" width="19.21875" customWidth="1"/>
    <col min="4" max="4" width="14.109375" customWidth="1"/>
    <col min="5" max="5" width="16.77734375" customWidth="1"/>
  </cols>
  <sheetData>
    <row r="1" spans="1:5">
      <c r="A1" s="3"/>
      <c r="B1" s="3" t="s">
        <v>25</v>
      </c>
      <c r="C1" s="3" t="s">
        <v>25</v>
      </c>
      <c r="D1" s="3" t="s">
        <v>25</v>
      </c>
      <c r="E1" s="3" t="s">
        <v>25</v>
      </c>
    </row>
    <row r="2" spans="1:5">
      <c r="A2" s="3" t="s">
        <v>18</v>
      </c>
      <c r="B2" s="3" t="s">
        <v>3</v>
      </c>
      <c r="C2" s="3" t="s">
        <v>0</v>
      </c>
      <c r="D2" s="3" t="s">
        <v>1</v>
      </c>
      <c r="E2" s="3" t="s">
        <v>2</v>
      </c>
    </row>
    <row r="3" spans="1:5">
      <c r="A3" s="3" t="s">
        <v>19</v>
      </c>
      <c r="B3">
        <v>0.61</v>
      </c>
      <c r="C3">
        <v>0.56999999999999995</v>
      </c>
      <c r="D3">
        <v>0.55000000000000004</v>
      </c>
      <c r="E3">
        <v>0.62</v>
      </c>
    </row>
    <row r="4" spans="1:5">
      <c r="A4" s="3" t="s">
        <v>20</v>
      </c>
      <c r="B4">
        <v>0.09</v>
      </c>
      <c r="C4">
        <v>0.19</v>
      </c>
      <c r="D4">
        <v>0.17</v>
      </c>
      <c r="E4">
        <v>0.08</v>
      </c>
    </row>
    <row r="5" spans="1:5">
      <c r="A5" s="3" t="s">
        <v>21</v>
      </c>
      <c r="B5">
        <v>0.11</v>
      </c>
      <c r="C5">
        <v>0.03</v>
      </c>
      <c r="D5">
        <v>0.04</v>
      </c>
      <c r="E5">
        <v>0.1</v>
      </c>
    </row>
    <row r="6" spans="1:5">
      <c r="A6" s="3" t="s">
        <v>22</v>
      </c>
      <c r="B6">
        <v>0.05</v>
      </c>
      <c r="C6">
        <v>7.0000000000000007E-2</v>
      </c>
      <c r="D6">
        <v>0.08</v>
      </c>
      <c r="E6">
        <v>0.06</v>
      </c>
    </row>
    <row r="7" spans="1:5">
      <c r="A7" s="3" t="s">
        <v>23</v>
      </c>
      <c r="B7">
        <v>0.06</v>
      </c>
      <c r="C7">
        <v>7.0000000000000007E-2</v>
      </c>
      <c r="D7">
        <v>0.06</v>
      </c>
      <c r="E7">
        <v>0.05</v>
      </c>
    </row>
    <row r="8" spans="1:5">
      <c r="A8" s="3" t="s">
        <v>24</v>
      </c>
      <c r="B8">
        <v>0.05</v>
      </c>
      <c r="C8">
        <v>0.04</v>
      </c>
      <c r="D8">
        <v>0.05</v>
      </c>
      <c r="E8">
        <v>0.06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5705E-7944-4324-8AE3-D508A9C827E8}">
  <dimension ref="A1:F14"/>
  <sheetViews>
    <sheetView workbookViewId="0">
      <selection activeCell="F22" sqref="F22"/>
    </sheetView>
  </sheetViews>
  <sheetFormatPr defaultRowHeight="14.4"/>
  <cols>
    <col min="2" max="2" width="17.77734375" customWidth="1"/>
    <col min="3" max="3" width="14.77734375" customWidth="1"/>
  </cols>
  <sheetData>
    <row r="1" spans="1:6">
      <c r="A1" s="3"/>
      <c r="B1" s="3" t="s">
        <v>8</v>
      </c>
      <c r="C1" s="3" t="s">
        <v>8</v>
      </c>
      <c r="D1" s="3" t="s">
        <v>8</v>
      </c>
      <c r="E1" s="3"/>
      <c r="F1" s="3"/>
    </row>
    <row r="2" spans="1:6">
      <c r="A2" s="6" t="s">
        <v>4</v>
      </c>
      <c r="B2" s="3" t="s">
        <v>10</v>
      </c>
      <c r="C2" s="3" t="s">
        <v>11</v>
      </c>
      <c r="D2" s="3" t="s">
        <v>12</v>
      </c>
      <c r="E2" s="3"/>
      <c r="F2" s="3"/>
    </row>
    <row r="3" spans="1:6">
      <c r="A3">
        <v>1</v>
      </c>
      <c r="B3" s="4">
        <v>43.7</v>
      </c>
      <c r="C3" s="4">
        <v>31.3</v>
      </c>
      <c r="D3" s="4">
        <v>12.4</v>
      </c>
      <c r="E3" s="3"/>
      <c r="F3" s="3"/>
    </row>
    <row r="4" spans="1:6">
      <c r="A4">
        <v>2</v>
      </c>
      <c r="B4" s="4">
        <v>46.4</v>
      </c>
      <c r="C4" s="4">
        <v>34.6</v>
      </c>
      <c r="D4" s="4">
        <v>11.8</v>
      </c>
      <c r="E4" s="3"/>
      <c r="F4" s="3"/>
    </row>
    <row r="5" spans="1:6">
      <c r="A5">
        <v>3</v>
      </c>
      <c r="B5" s="4">
        <v>28.8</v>
      </c>
      <c r="C5" s="4">
        <v>21.8</v>
      </c>
      <c r="D5" s="4">
        <v>7</v>
      </c>
      <c r="E5" s="3"/>
      <c r="F5" s="3"/>
    </row>
    <row r="6" spans="1:6">
      <c r="A6">
        <v>4</v>
      </c>
      <c r="B6" s="4">
        <v>18.7</v>
      </c>
      <c r="C6" s="4">
        <v>14.5</v>
      </c>
      <c r="D6" s="4">
        <v>4.2</v>
      </c>
      <c r="E6" s="3"/>
      <c r="F6" s="3"/>
    </row>
    <row r="7" spans="1:6">
      <c r="A7">
        <v>5</v>
      </c>
      <c r="B7" s="4">
        <v>19.2</v>
      </c>
      <c r="C7" s="4">
        <v>16.100000000000001</v>
      </c>
      <c r="D7" s="4">
        <v>3.1</v>
      </c>
      <c r="E7" s="3"/>
      <c r="F7" s="3"/>
    </row>
    <row r="8" spans="1:6">
      <c r="A8">
        <v>6</v>
      </c>
      <c r="B8" s="4">
        <v>9.6999999999999993</v>
      </c>
      <c r="C8" s="4">
        <v>8.1999999999999993</v>
      </c>
      <c r="D8" s="4">
        <v>1.5</v>
      </c>
      <c r="E8" s="3"/>
      <c r="F8" s="3"/>
    </row>
    <row r="9" spans="1:6">
      <c r="A9">
        <v>7</v>
      </c>
      <c r="B9" s="4">
        <v>7.1</v>
      </c>
      <c r="C9" s="4">
        <v>5.7</v>
      </c>
      <c r="D9" s="4">
        <v>1.4</v>
      </c>
    </row>
    <row r="10" spans="1:6">
      <c r="A10">
        <v>8</v>
      </c>
      <c r="B10" s="4">
        <v>7.9</v>
      </c>
      <c r="C10" s="4">
        <v>6.2</v>
      </c>
      <c r="D10" s="4">
        <v>1.7</v>
      </c>
    </row>
    <row r="11" spans="1:6">
      <c r="A11">
        <v>9</v>
      </c>
      <c r="B11" s="4">
        <v>14.5</v>
      </c>
      <c r="C11" s="4">
        <v>11.4</v>
      </c>
      <c r="D11" s="4">
        <v>3.1</v>
      </c>
    </row>
    <row r="12" spans="1:6">
      <c r="A12">
        <v>10</v>
      </c>
      <c r="B12" s="4">
        <v>22.2</v>
      </c>
      <c r="C12" s="4">
        <v>17</v>
      </c>
      <c r="D12" s="4">
        <v>5.2</v>
      </c>
    </row>
    <row r="13" spans="1:6">
      <c r="A13">
        <v>11</v>
      </c>
      <c r="B13" s="4">
        <v>33.9</v>
      </c>
      <c r="C13" s="4">
        <v>24.9</v>
      </c>
      <c r="D13" s="4">
        <v>9</v>
      </c>
    </row>
    <row r="14" spans="1:6">
      <c r="A14">
        <v>12</v>
      </c>
      <c r="B14" s="4">
        <v>39.6</v>
      </c>
      <c r="C14" s="4">
        <v>29.1</v>
      </c>
      <c r="D14" s="4">
        <v>10.5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data_for_fig_4a</vt:lpstr>
      <vt:lpstr>data_for_fig_4b</vt:lpstr>
      <vt:lpstr>data_for_fig_4c</vt:lpstr>
      <vt:lpstr>Data_for_fig_4d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Sarwar, Golam</dc:creator>
  <cp:lastModifiedBy>Sarwar, Golam</cp:lastModifiedBy>
  <dcterms:created xsi:type="dcterms:W3CDTF">2023-01-20T19:00:33Z</dcterms:created>
  <dcterms:modified xsi:type="dcterms:W3CDTF">2023-01-21T12:59:17Z</dcterms:modified>
</cp:coreProperties>
</file>